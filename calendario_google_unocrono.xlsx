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  <sheet name="Resumen" sheetId="2" state="visible" r:id="rId2"/>
  </sheets>
  <definedNames>
    <definedName name="_xlnm._FilterDatabase" localSheetId="0" hidden="1">'Eventos'!$A$4:$R$16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235940"/>
      <sz val="14"/>
    </font>
    <font>
      <name val="Arial"/>
      <color rgb="006B728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4A4A4A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color rgb="00EC7C2B"/>
      <sz val="10"/>
    </font>
  </fonts>
  <fills count="4">
    <fill>
      <patternFill/>
    </fill>
    <fill>
      <patternFill patternType="gray125"/>
    </fill>
    <fill>
      <patternFill patternType="solid">
        <fgColor rgb="00235940"/>
      </patternFill>
    </fill>
    <fill>
      <patternFill patternType="solid">
        <fgColor rgb="00FAF6EC"/>
      </patternFill>
    </fill>
  </fills>
  <borders count="2">
    <border>
      <left/>
      <right/>
      <top/>
      <bottom/>
      <diagonal/>
    </border>
    <border>
      <bottom style="thin">
        <color rgb="00D8D2C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2" fillId="0" borderId="0" pivotButton="0" quotePrefix="0" xfId="0"/>
    <xf numFmtId="1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calendar/event?eid=czJkaGQ2aDg4YmI4ZWo2NTM5NWVrampqdWsgdW5vY3Jvbm9AbQ" TargetMode="External" Id="rId1" /><Relationship Type="http://schemas.openxmlformats.org/officeDocument/2006/relationships/hyperlink" Target="https://www.google.com/calendar/event?eid=N3BjZDR1bWdqcnU0azhlbG04bm5vYWM3MTUgdW5vY3Jvbm9AbQ" TargetMode="External" Id="rId2" /><Relationship Type="http://schemas.openxmlformats.org/officeDocument/2006/relationships/hyperlink" Target="https://www.google.com/calendar/event?eid=NnJpMTQ3ZjdtcmpkY2V0cXA2bWZmcHJjODggdW5vY3Jvbm9AbQ" TargetMode="External" Id="rId3" /><Relationship Type="http://schemas.openxmlformats.org/officeDocument/2006/relationships/hyperlink" Target="https://www.google.com/calendar/event?eid=MWUzM2dzNmRvdGNrZTdzZmd2ZHFwNTBlYW0gdW5vY3Jvbm9AbQ" TargetMode="External" Id="rId4" /><Relationship Type="http://schemas.openxmlformats.org/officeDocument/2006/relationships/hyperlink" Target="https://www.google.com/calendar/event?eid=NHZtODZsNHF0cTV2dWRtcWs4bXNsN3VmYWIgdW5vY3Jvbm9AbQ" TargetMode="External" Id="rId5" /><Relationship Type="http://schemas.openxmlformats.org/officeDocument/2006/relationships/hyperlink" Target="https://www.google.com/calendar/event?eid=NXExMjFianM2NnFiYXRmY2pmN2tvZDZlMmEgdW5vY3Jvbm9AbQ" TargetMode="External" Id="rId6" /><Relationship Type="http://schemas.openxmlformats.org/officeDocument/2006/relationships/hyperlink" Target="https://www.google.com/calendar/event?eid=MW9iNmZiOTE2ZmhjcGoyM3Z2OTJzbjVvNmUgdW5vY3Jvbm9AbQ" TargetMode="External" Id="rId7" /><Relationship Type="http://schemas.openxmlformats.org/officeDocument/2006/relationships/hyperlink" Target="https://www.google.com/calendar/event?eid=MzcwdDdmamlrbWhqZWhiNG5lOTRoNDBnY2sgdW5vY3Jvbm9AbQ" TargetMode="External" Id="rId8" /><Relationship Type="http://schemas.openxmlformats.org/officeDocument/2006/relationships/hyperlink" Target="https://www.google.com/calendar/event?eid=NjNldjE0a2VsMGNpcDl0Mmw3aXJzdDhwbnEgdW5vY3Jvbm9AbQ" TargetMode="External" Id="rId9" /><Relationship Type="http://schemas.openxmlformats.org/officeDocument/2006/relationships/hyperlink" Target="https://www.google.com/calendar/event?eid=NTJrNGc3aG1mZXNiYzMxMGUyZTd0ZjhiYnEgdW5vY3Jvbm9AbQ" TargetMode="External" Id="rId10" /><Relationship Type="http://schemas.openxmlformats.org/officeDocument/2006/relationships/hyperlink" Target="https://www.google.com/calendar/event?eid=MTM0Y25ic2Q4dG5hbWVncWVvM3EwczR1MW0gdW5vY3Jvbm9AbQ" TargetMode="External" Id="rId11" /><Relationship Type="http://schemas.openxmlformats.org/officeDocument/2006/relationships/hyperlink" Target="https://www.google.com/calendar/event?eid=NnBvMzFsNDU0MGloYzloNmFlYjYxdjR1dnQgdW5vY3Jvbm9AbQ" TargetMode="External" Id="rId12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R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1" customWidth="1" min="3" max="3"/>
    <col width="13" customWidth="1" min="4" max="4"/>
    <col width="10" customWidth="1" min="5" max="5"/>
    <col width="11" customWidth="1" min="6" max="6"/>
    <col width="14" customWidth="1" min="7" max="7"/>
    <col width="16" customWidth="1" min="8" max="8"/>
    <col width="7" customWidth="1" min="9" max="9"/>
    <col width="6" customWidth="1" min="10" max="10"/>
    <col width="15" customWidth="1" min="11" max="11"/>
    <col width="26" customWidth="1" min="12" max="12"/>
    <col width="40" customWidth="1" min="13" max="13"/>
    <col width="14" customWidth="1" min="14" max="14"/>
    <col width="12" customWidth="1" min="15" max="15"/>
    <col width="24" customWidth="1" min="16" max="16"/>
    <col width="22" customWidth="1" min="17" max="17"/>
    <col width="30" customWidth="1" min="18" max="18"/>
  </cols>
  <sheetData>
    <row r="1">
      <c r="A1" s="1" t="inlineStr">
        <is>
          <t>Calendario de Google — unocrono@gmail.com · eventos futuros</t>
        </is>
      </c>
    </row>
    <row r="2">
      <c r="A2" s="2" t="inlineStr">
        <is>
          <t>12 eventos desde hoy 11/08/2026 hasta 31/12/2026. Exportado el 11/08/2026. Zona horaria: Europe/Madrid. En eventos de día completo la fecha de fin se muestra en inclusiva (Google la almacena en exclusiva). No se incluye el calendario «Festivos en España» ni los eventos ya pasados.</t>
        </is>
      </c>
    </row>
    <row r="4" ht="24" customHeight="1">
      <c r="A4" s="3" t="inlineStr">
        <is>
          <t>Título</t>
        </is>
      </c>
      <c r="B4" s="3" t="inlineStr">
        <is>
          <t>Fecha inicio</t>
        </is>
      </c>
      <c r="C4" s="3" t="inlineStr">
        <is>
          <t>Hora inicio</t>
        </is>
      </c>
      <c r="D4" s="3" t="inlineStr">
        <is>
          <t>Fecha fin</t>
        </is>
      </c>
      <c r="E4" s="3" t="inlineStr">
        <is>
          <t>Hora fin</t>
        </is>
      </c>
      <c r="F4" s="3" t="inlineStr">
        <is>
          <t>Todo el día</t>
        </is>
      </c>
      <c r="G4" s="3" t="inlineStr">
        <is>
          <t>Duración (días)</t>
        </is>
      </c>
      <c r="H4" s="3" t="inlineStr">
        <is>
          <t>Día de la semana</t>
        </is>
      </c>
      <c r="I4" s="3" t="inlineStr">
        <is>
          <t>Año</t>
        </is>
      </c>
      <c r="J4" s="3" t="inlineStr">
        <is>
          <t>Mes</t>
        </is>
      </c>
      <c r="K4" s="3" t="inlineStr">
        <is>
          <t>Nombre del mes</t>
        </is>
      </c>
      <c r="L4" s="3" t="inlineStr">
        <is>
          <t>Ubicación</t>
        </is>
      </c>
      <c r="M4" s="3" t="inlineStr">
        <is>
          <t>Descripción</t>
        </is>
      </c>
      <c r="N4" s="3" t="inlineStr">
        <is>
          <t>Disponibilidad</t>
        </is>
      </c>
      <c r="O4" s="3" t="inlineStr">
        <is>
          <t>Estado</t>
        </is>
      </c>
      <c r="P4" s="3" t="inlineStr">
        <is>
          <t>Creado por</t>
        </is>
      </c>
      <c r="Q4" s="3" t="inlineStr">
        <is>
          <t>Enlace</t>
        </is>
      </c>
      <c r="R4" s="3" t="inlineStr">
        <is>
          <t>ID de evento</t>
        </is>
      </c>
    </row>
    <row r="5">
      <c r="A5" s="4" t="inlineStr">
        <is>
          <t>Tri Parayas</t>
        </is>
      </c>
      <c r="B5" s="5" t="n">
        <v>46263</v>
      </c>
      <c r="C5" s="6" t="inlineStr"/>
      <c r="D5" s="5" t="n">
        <v>46263</v>
      </c>
      <c r="E5" s="6" t="inlineStr"/>
      <c r="F5" s="6" t="inlineStr">
        <is>
          <t>Sí</t>
        </is>
      </c>
      <c r="G5" s="7">
        <f>D5-B5+1</f>
        <v>1</v>
      </c>
      <c r="H5" s="8" t="str">
        <f>CHOOSE(WEEKDAY(B5,2),"Lunes","Martes","Miércoles","Jueves","Viernes","Sábado","Domingo")</f>
        <v>Sábado</v>
      </c>
      <c r="I5" s="9">
        <f>YEAR(B5)</f>
        <v>2026</v>
      </c>
      <c r="J5" s="7">
        <f>MONTH(B5)</f>
        <v>8</v>
      </c>
      <c r="K5" s="8" t="str">
        <f>CHOOSE(MONTH(B5),"Enero","Febrero","Marzo","Abril","Mayo","Junio","Julio","Agosto","Septiembre","Octubre","Noviembre","Diciembre")</f>
        <v>Agosto</v>
      </c>
      <c r="L5" s="4" t="inlineStr"/>
      <c r="M5" s="4" t="inlineStr"/>
      <c r="N5" s="6" t="inlineStr">
        <is>
          <t>Libre</t>
        </is>
      </c>
      <c r="O5" s="6" t="inlineStr">
        <is>
          <t>Confirmado</t>
        </is>
      </c>
      <c r="P5" s="4" t="inlineStr">
        <is>
          <t>unocrono@gmail.com</t>
        </is>
      </c>
      <c r="Q5" s="10" t="inlineStr">
        <is>
          <t>Abrir en Google</t>
        </is>
      </c>
      <c r="R5" s="4" t="inlineStr">
        <is>
          <t>s2dhd6h88bb8ej65395ekjjjuk</t>
        </is>
      </c>
    </row>
    <row r="6">
      <c r="A6" s="11" t="inlineStr">
        <is>
          <t>24h - 100Km Santander</t>
        </is>
      </c>
      <c r="B6" s="12" t="n">
        <v>46270</v>
      </c>
      <c r="C6" s="13" t="inlineStr"/>
      <c r="D6" s="12" t="n">
        <v>46271</v>
      </c>
      <c r="E6" s="13" t="inlineStr"/>
      <c r="F6" s="13" t="inlineStr">
        <is>
          <t>Sí</t>
        </is>
      </c>
      <c r="G6" s="14">
        <f>D6-B6+1</f>
        <v>2</v>
      </c>
      <c r="H6" s="15" t="str">
        <f>CHOOSE(WEEKDAY(B6,2),"Lunes","Martes","Miércoles","Jueves","Viernes","Sábado","Domingo")</f>
        <v>Sábado</v>
      </c>
      <c r="I6" s="16">
        <f>YEAR(B6)</f>
        <v>2026</v>
      </c>
      <c r="J6" s="14">
        <f>MONTH(B6)</f>
        <v>9</v>
      </c>
      <c r="K6" s="15" t="str">
        <f>CHOOSE(MONTH(B6),"Enero","Febrero","Marzo","Abril","Mayo","Junio","Julio","Agosto","Septiembre","Octubre","Noviembre","Diciembre")</f>
        <v>Septiembre</v>
      </c>
      <c r="L6" s="11" t="inlineStr"/>
      <c r="M6" s="11" t="inlineStr"/>
      <c r="N6" s="13" t="inlineStr">
        <is>
          <t>Ocupado</t>
        </is>
      </c>
      <c r="O6" s="13" t="inlineStr">
        <is>
          <t>Confirmado</t>
        </is>
      </c>
      <c r="P6" s="11" t="inlineStr">
        <is>
          <t>unocrono@gmail.com</t>
        </is>
      </c>
      <c r="Q6" s="17" t="inlineStr">
        <is>
          <t>Abrir en Google</t>
        </is>
      </c>
      <c r="R6" s="11" t="inlineStr">
        <is>
          <t>7pcd4umgjru4k8elm8nnoac715</t>
        </is>
      </c>
    </row>
    <row r="7">
      <c r="A7" s="4" t="inlineStr">
        <is>
          <t>Bajo Pas</t>
        </is>
      </c>
      <c r="B7" s="5" t="n">
        <v>46277</v>
      </c>
      <c r="C7" s="6" t="inlineStr"/>
      <c r="D7" s="5" t="n">
        <v>46277</v>
      </c>
      <c r="E7" s="6" t="inlineStr"/>
      <c r="F7" s="6" t="inlineStr">
        <is>
          <t>Sí</t>
        </is>
      </c>
      <c r="G7" s="7">
        <f>D7-B7+1</f>
        <v>1</v>
      </c>
      <c r="H7" s="8" t="str">
        <f>CHOOSE(WEEKDAY(B7,2),"Lunes","Martes","Miércoles","Jueves","Viernes","Sábado","Domingo")</f>
        <v>Sábado</v>
      </c>
      <c r="I7" s="9">
        <f>YEAR(B7)</f>
        <v>2026</v>
      </c>
      <c r="J7" s="7">
        <f>MONTH(B7)</f>
        <v>9</v>
      </c>
      <c r="K7" s="8" t="str">
        <f>CHOOSE(MONTH(B7),"Enero","Febrero","Marzo","Abril","Mayo","Junio","Julio","Agosto","Septiembre","Octubre","Noviembre","Diciembre")</f>
        <v>Septiembre</v>
      </c>
      <c r="L7" s="4" t="inlineStr"/>
      <c r="M7" s="4" t="inlineStr"/>
      <c r="N7" s="6" t="inlineStr">
        <is>
          <t>Libre</t>
        </is>
      </c>
      <c r="O7" s="6" t="inlineStr">
        <is>
          <t>Confirmado</t>
        </is>
      </c>
      <c r="P7" s="4" t="inlineStr">
        <is>
          <t>unocrono@gmail.com</t>
        </is>
      </c>
      <c r="Q7" s="10" t="inlineStr">
        <is>
          <t>Abrir en Google</t>
        </is>
      </c>
      <c r="R7" s="4" t="inlineStr">
        <is>
          <t>6ri147f7mrjdcetqp6mffprc88</t>
        </is>
      </c>
    </row>
    <row r="8">
      <c r="A8" s="11" t="inlineStr">
        <is>
          <t>Peña Prieta</t>
        </is>
      </c>
      <c r="B8" s="12" t="n">
        <v>46298</v>
      </c>
      <c r="C8" s="13" t="inlineStr"/>
      <c r="D8" s="12" t="n">
        <v>46298</v>
      </c>
      <c r="E8" s="13" t="inlineStr"/>
      <c r="F8" s="13" t="inlineStr">
        <is>
          <t>Sí</t>
        </is>
      </c>
      <c r="G8" s="14">
        <f>D8-B8+1</f>
        <v>1</v>
      </c>
      <c r="H8" s="15" t="str">
        <f>CHOOSE(WEEKDAY(B8,2),"Lunes","Martes","Miércoles","Jueves","Viernes","Sábado","Domingo")</f>
        <v>Sábado</v>
      </c>
      <c r="I8" s="16">
        <f>YEAR(B8)</f>
        <v>2026</v>
      </c>
      <c r="J8" s="14">
        <f>MONTH(B8)</f>
        <v>10</v>
      </c>
      <c r="K8" s="15" t="str">
        <f>CHOOSE(MONTH(B8),"Enero","Febrero","Marzo","Abril","Mayo","Junio","Julio","Agosto","Septiembre","Octubre","Noviembre","Diciembre")</f>
        <v>Octubre</v>
      </c>
      <c r="L8" s="11" t="inlineStr"/>
      <c r="M8" s="11" t="inlineStr"/>
      <c r="N8" s="13" t="inlineStr">
        <is>
          <t>Libre</t>
        </is>
      </c>
      <c r="O8" s="13" t="inlineStr">
        <is>
          <t>Confirmado</t>
        </is>
      </c>
      <c r="P8" s="11" t="inlineStr">
        <is>
          <t>unocrono@gmail.com</t>
        </is>
      </c>
      <c r="Q8" s="17" t="inlineStr">
        <is>
          <t>Abrir en Google</t>
        </is>
      </c>
      <c r="R8" s="11" t="inlineStr">
        <is>
          <t>1e33gs6dotcke7sfgvdqp50eam</t>
        </is>
      </c>
    </row>
    <row r="9">
      <c r="A9" s="4" t="inlineStr">
        <is>
          <t>Maraton de Logroño</t>
        </is>
      </c>
      <c r="B9" s="5" t="n">
        <v>46299</v>
      </c>
      <c r="C9" s="6" t="inlineStr"/>
      <c r="D9" s="5" t="n">
        <v>46299</v>
      </c>
      <c r="E9" s="6" t="inlineStr"/>
      <c r="F9" s="6" t="inlineStr">
        <is>
          <t>Sí</t>
        </is>
      </c>
      <c r="G9" s="7">
        <f>D9-B9+1</f>
        <v>1</v>
      </c>
      <c r="H9" s="8" t="str">
        <f>CHOOSE(WEEKDAY(B9,2),"Lunes","Martes","Miércoles","Jueves","Viernes","Sábado","Domingo")</f>
        <v>Domingo</v>
      </c>
      <c r="I9" s="9">
        <f>YEAR(B9)</f>
        <v>2026</v>
      </c>
      <c r="J9" s="7">
        <f>MONTH(B9)</f>
        <v>10</v>
      </c>
      <c r="K9" s="8" t="str">
        <f>CHOOSE(MONTH(B9),"Enero","Febrero","Marzo","Abril","Mayo","Junio","Julio","Agosto","Septiembre","Octubre","Noviembre","Diciembre")</f>
        <v>Octubre</v>
      </c>
      <c r="L9" s="4" t="inlineStr"/>
      <c r="M9" s="4" t="inlineStr"/>
      <c r="N9" s="6" t="inlineStr">
        <is>
          <t>Libre</t>
        </is>
      </c>
      <c r="O9" s="6" t="inlineStr">
        <is>
          <t>Confirmado</t>
        </is>
      </c>
      <c r="P9" s="4" t="inlineStr">
        <is>
          <t>unocrono@gmail.com</t>
        </is>
      </c>
      <c r="Q9" s="10" t="inlineStr">
        <is>
          <t>Abrir en Google</t>
        </is>
      </c>
      <c r="R9" s="4" t="inlineStr">
        <is>
          <t>4vm86l4qtq5vudmqk8msl7ufab</t>
        </is>
      </c>
    </row>
    <row r="10">
      <c r="A10" s="11" t="inlineStr">
        <is>
          <t>Entre Viñedos</t>
        </is>
      </c>
      <c r="B10" s="12" t="n">
        <v>46320</v>
      </c>
      <c r="C10" s="13" t="inlineStr"/>
      <c r="D10" s="12" t="n">
        <v>46320</v>
      </c>
      <c r="E10" s="13" t="inlineStr"/>
      <c r="F10" s="13" t="inlineStr">
        <is>
          <t>Sí</t>
        </is>
      </c>
      <c r="G10" s="14">
        <f>D10-B10+1</f>
        <v>1</v>
      </c>
      <c r="H10" s="15" t="str">
        <f>CHOOSE(WEEKDAY(B10,2),"Lunes","Martes","Miércoles","Jueves","Viernes","Sábado","Domingo")</f>
        <v>Domingo</v>
      </c>
      <c r="I10" s="16">
        <f>YEAR(B10)</f>
        <v>2026</v>
      </c>
      <c r="J10" s="14">
        <f>MONTH(B10)</f>
        <v>10</v>
      </c>
      <c r="K10" s="15" t="str">
        <f>CHOOSE(MONTH(B10),"Enero","Febrero","Marzo","Abril","Mayo","Junio","Julio","Agosto","Septiembre","Octubre","Noviembre","Diciembre")</f>
        <v>Octubre</v>
      </c>
      <c r="L10" s="11" t="inlineStr"/>
      <c r="M10" s="11" t="inlineStr"/>
      <c r="N10" s="13" t="inlineStr">
        <is>
          <t>Libre</t>
        </is>
      </c>
      <c r="O10" s="13" t="inlineStr">
        <is>
          <t>Confirmado</t>
        </is>
      </c>
      <c r="P10" s="11" t="inlineStr">
        <is>
          <t>unocrono@gmail.com</t>
        </is>
      </c>
      <c r="Q10" s="17" t="inlineStr">
        <is>
          <t>Abrir en Google</t>
        </is>
      </c>
      <c r="R10" s="11" t="inlineStr">
        <is>
          <t>5q121bjs66qbatfcjf7kod6e2a</t>
        </is>
      </c>
    </row>
    <row r="11">
      <c r="A11" s="4" t="inlineStr">
        <is>
          <t>Trail Loiu</t>
        </is>
      </c>
      <c r="B11" s="5" t="n">
        <v>46327</v>
      </c>
      <c r="C11" s="6" t="inlineStr"/>
      <c r="D11" s="5" t="n">
        <v>46327</v>
      </c>
      <c r="E11" s="6" t="inlineStr"/>
      <c r="F11" s="6" t="inlineStr">
        <is>
          <t>Sí</t>
        </is>
      </c>
      <c r="G11" s="7">
        <f>D11-B11+1</f>
        <v>1</v>
      </c>
      <c r="H11" s="8" t="str">
        <f>CHOOSE(WEEKDAY(B11,2),"Lunes","Martes","Miércoles","Jueves","Viernes","Sábado","Domingo")</f>
        <v>Domingo</v>
      </c>
      <c r="I11" s="9">
        <f>YEAR(B11)</f>
        <v>2026</v>
      </c>
      <c r="J11" s="7">
        <f>MONTH(B11)</f>
        <v>11</v>
      </c>
      <c r="K11" s="8" t="str">
        <f>CHOOSE(MONTH(B11),"Enero","Febrero","Marzo","Abril","Mayo","Junio","Julio","Agosto","Septiembre","Octubre","Noviembre","Diciembre")</f>
        <v>Noviembre</v>
      </c>
      <c r="L11" s="4" t="inlineStr"/>
      <c r="M11" s="4" t="inlineStr"/>
      <c r="N11" s="6" t="inlineStr">
        <is>
          <t>Libre</t>
        </is>
      </c>
      <c r="O11" s="6" t="inlineStr">
        <is>
          <t>Confirmado</t>
        </is>
      </c>
      <c r="P11" s="4" t="inlineStr">
        <is>
          <t>unocrono@gmail.com</t>
        </is>
      </c>
      <c r="Q11" s="10" t="inlineStr">
        <is>
          <t>Abrir en Google</t>
        </is>
      </c>
      <c r="R11" s="4" t="inlineStr">
        <is>
          <t>1ob6fb916fhcpj23vv92sn5o6e</t>
        </is>
      </c>
    </row>
    <row r="12">
      <c r="A12" s="11" t="inlineStr">
        <is>
          <t>Carrera de GUARDIA CIVIL</t>
        </is>
      </c>
      <c r="B12" s="12" t="n">
        <v>46341</v>
      </c>
      <c r="C12" s="13" t="inlineStr"/>
      <c r="D12" s="12" t="n">
        <v>46341</v>
      </c>
      <c r="E12" s="13" t="inlineStr"/>
      <c r="F12" s="13" t="inlineStr">
        <is>
          <t>Sí</t>
        </is>
      </c>
      <c r="G12" s="14">
        <f>D12-B12+1</f>
        <v>1</v>
      </c>
      <c r="H12" s="15" t="str">
        <f>CHOOSE(WEEKDAY(B12,2),"Lunes","Martes","Miércoles","Jueves","Viernes","Sábado","Domingo")</f>
        <v>Domingo</v>
      </c>
      <c r="I12" s="16">
        <f>YEAR(B12)</f>
        <v>2026</v>
      </c>
      <c r="J12" s="14">
        <f>MONTH(B12)</f>
        <v>11</v>
      </c>
      <c r="K12" s="15" t="str">
        <f>CHOOSE(MONTH(B12),"Enero","Febrero","Marzo","Abril","Mayo","Junio","Julio","Agosto","Septiembre","Octubre","Noviembre","Diciembre")</f>
        <v>Noviembre</v>
      </c>
      <c r="L12" s="11" t="inlineStr"/>
      <c r="M12" s="11" t="inlineStr"/>
      <c r="N12" s="13" t="inlineStr">
        <is>
          <t>Libre</t>
        </is>
      </c>
      <c r="O12" s="13" t="inlineStr">
        <is>
          <t>Confirmado</t>
        </is>
      </c>
      <c r="P12" s="11" t="inlineStr">
        <is>
          <t>maikamaroto@gmail.com</t>
        </is>
      </c>
      <c r="Q12" s="17" t="inlineStr">
        <is>
          <t>Abrir en Google</t>
        </is>
      </c>
      <c r="R12" s="11" t="inlineStr">
        <is>
          <t>370t7fjikmhjehb4ne94h40gck</t>
        </is>
      </c>
    </row>
    <row r="13">
      <c r="A13" s="4" t="inlineStr">
        <is>
          <t>Militares Rioja</t>
        </is>
      </c>
      <c r="B13" s="5" t="n">
        <v>46354</v>
      </c>
      <c r="C13" s="6" t="inlineStr"/>
      <c r="D13" s="5" t="n">
        <v>46354</v>
      </c>
      <c r="E13" s="6" t="inlineStr"/>
      <c r="F13" s="6" t="inlineStr">
        <is>
          <t>Sí</t>
        </is>
      </c>
      <c r="G13" s="7">
        <f>D13-B13+1</f>
        <v>1</v>
      </c>
      <c r="H13" s="8" t="str">
        <f>CHOOSE(WEEKDAY(B13,2),"Lunes","Martes","Miércoles","Jueves","Viernes","Sábado","Domingo")</f>
        <v>Sábado</v>
      </c>
      <c r="I13" s="9">
        <f>YEAR(B13)</f>
        <v>2026</v>
      </c>
      <c r="J13" s="7">
        <f>MONTH(B13)</f>
        <v>11</v>
      </c>
      <c r="K13" s="8" t="str">
        <f>CHOOSE(MONTH(B13),"Enero","Febrero","Marzo","Abril","Mayo","Junio","Julio","Agosto","Septiembre","Octubre","Noviembre","Diciembre")</f>
        <v>Noviembre</v>
      </c>
      <c r="L13" s="4" t="inlineStr"/>
      <c r="M13" s="4" t="inlineStr"/>
      <c r="N13" s="6" t="inlineStr">
        <is>
          <t>Libre</t>
        </is>
      </c>
      <c r="O13" s="6" t="inlineStr">
        <is>
          <t>Confirmado</t>
        </is>
      </c>
      <c r="P13" s="4" t="inlineStr">
        <is>
          <t>unocrono@gmail.com</t>
        </is>
      </c>
      <c r="Q13" s="10" t="inlineStr">
        <is>
          <t>Abrir en Google</t>
        </is>
      </c>
      <c r="R13" s="4" t="inlineStr">
        <is>
          <t>63ev14kel0cip9t2l7irst8pnq</t>
        </is>
      </c>
    </row>
    <row r="14">
      <c r="A14" s="11" t="inlineStr">
        <is>
          <t>Militares Logroño</t>
        </is>
      </c>
      <c r="B14" s="12" t="n">
        <v>46355</v>
      </c>
      <c r="C14" s="13" t="inlineStr"/>
      <c r="D14" s="12" t="n">
        <v>46355</v>
      </c>
      <c r="E14" s="13" t="inlineStr"/>
      <c r="F14" s="13" t="inlineStr">
        <is>
          <t>Sí</t>
        </is>
      </c>
      <c r="G14" s="14">
        <f>D14-B14+1</f>
        <v>1</v>
      </c>
      <c r="H14" s="15" t="str">
        <f>CHOOSE(WEEKDAY(B14,2),"Lunes","Martes","Miércoles","Jueves","Viernes","Sábado","Domingo")</f>
        <v>Domingo</v>
      </c>
      <c r="I14" s="16">
        <f>YEAR(B14)</f>
        <v>2026</v>
      </c>
      <c r="J14" s="14">
        <f>MONTH(B14)</f>
        <v>11</v>
      </c>
      <c r="K14" s="15" t="str">
        <f>CHOOSE(MONTH(B14),"Enero","Febrero","Marzo","Abril","Mayo","Junio","Julio","Agosto","Septiembre","Octubre","Noviembre","Diciembre")</f>
        <v>Noviembre</v>
      </c>
      <c r="L14" s="11" t="inlineStr"/>
      <c r="M14" s="11" t="inlineStr"/>
      <c r="N14" s="13" t="inlineStr">
        <is>
          <t>Libre</t>
        </is>
      </c>
      <c r="O14" s="13" t="inlineStr">
        <is>
          <t>Confirmado</t>
        </is>
      </c>
      <c r="P14" s="11" t="inlineStr">
        <is>
          <t>unocrono@gmail.com</t>
        </is>
      </c>
      <c r="Q14" s="17" t="inlineStr">
        <is>
          <t>Abrir en Google</t>
        </is>
      </c>
      <c r="R14" s="11" t="inlineStr">
        <is>
          <t>52k4g7hmfesbc310e2e7tf8bbq</t>
        </is>
      </c>
    </row>
    <row r="15">
      <c r="A15" s="4" t="inlineStr">
        <is>
          <t>San Felices</t>
        </is>
      </c>
      <c r="B15" s="5" t="n">
        <v>46369</v>
      </c>
      <c r="C15" s="6" t="inlineStr"/>
      <c r="D15" s="5" t="n">
        <v>46369</v>
      </c>
      <c r="E15" s="6" t="inlineStr"/>
      <c r="F15" s="6" t="inlineStr">
        <is>
          <t>Sí</t>
        </is>
      </c>
      <c r="G15" s="7">
        <f>D15-B15+1</f>
        <v>1</v>
      </c>
      <c r="H15" s="8" t="str">
        <f>CHOOSE(WEEKDAY(B15,2),"Lunes","Martes","Miércoles","Jueves","Viernes","Sábado","Domingo")</f>
        <v>Domingo</v>
      </c>
      <c r="I15" s="9">
        <f>YEAR(B15)</f>
        <v>2026</v>
      </c>
      <c r="J15" s="7">
        <f>MONTH(B15)</f>
        <v>12</v>
      </c>
      <c r="K15" s="8" t="str">
        <f>CHOOSE(MONTH(B15),"Enero","Febrero","Marzo","Abril","Mayo","Junio","Julio","Agosto","Septiembre","Octubre","Noviembre","Diciembre")</f>
        <v>Diciembre</v>
      </c>
      <c r="L15" s="4" t="inlineStr"/>
      <c r="M15" s="4" t="inlineStr"/>
      <c r="N15" s="6" t="inlineStr">
        <is>
          <t>Libre</t>
        </is>
      </c>
      <c r="O15" s="6" t="inlineStr">
        <is>
          <t>Confirmado</t>
        </is>
      </c>
      <c r="P15" s="4" t="inlineStr">
        <is>
          <t>unocrono@gmail.com</t>
        </is>
      </c>
      <c r="Q15" s="10" t="inlineStr">
        <is>
          <t>Abrir en Google</t>
        </is>
      </c>
      <c r="R15" s="4" t="inlineStr">
        <is>
          <t>134cnbsd8tnamegqeo3q0s4u1m</t>
        </is>
      </c>
    </row>
    <row r="16">
      <c r="A16" s="11" t="inlineStr">
        <is>
          <t>La Garita</t>
        </is>
      </c>
      <c r="B16" s="12" t="n">
        <v>46387</v>
      </c>
      <c r="C16" s="13" t="inlineStr"/>
      <c r="D16" s="12" t="n">
        <v>46387</v>
      </c>
      <c r="E16" s="13" t="inlineStr"/>
      <c r="F16" s="13" t="inlineStr">
        <is>
          <t>Sí</t>
        </is>
      </c>
      <c r="G16" s="14">
        <f>D16-B16+1</f>
        <v>1</v>
      </c>
      <c r="H16" s="15" t="str">
        <f>CHOOSE(WEEKDAY(B16,2),"Lunes","Martes","Miércoles","Jueves","Viernes","Sábado","Domingo")</f>
        <v>Jueves</v>
      </c>
      <c r="I16" s="16">
        <f>YEAR(B16)</f>
        <v>2026</v>
      </c>
      <c r="J16" s="14">
        <f>MONTH(B16)</f>
        <v>12</v>
      </c>
      <c r="K16" s="15" t="str">
        <f>CHOOSE(MONTH(B16),"Enero","Febrero","Marzo","Abril","Mayo","Junio","Julio","Agosto","Septiembre","Octubre","Noviembre","Diciembre")</f>
        <v>Diciembre</v>
      </c>
      <c r="L16" s="11" t="inlineStr"/>
      <c r="M16" s="11" t="inlineStr"/>
      <c r="N16" s="13" t="inlineStr">
        <is>
          <t>Ocupado</t>
        </is>
      </c>
      <c r="O16" s="13" t="inlineStr">
        <is>
          <t>Confirmado</t>
        </is>
      </c>
      <c r="P16" s="11" t="inlineStr">
        <is>
          <t>unocrono@gmail.com</t>
        </is>
      </c>
      <c r="Q16" s="17" t="inlineStr">
        <is>
          <t>Abrir en Google</t>
        </is>
      </c>
      <c r="R16" s="11" t="inlineStr">
        <is>
          <t>6po31l4540ihc9h6aeb61v4uvt</t>
        </is>
      </c>
    </row>
  </sheetData>
  <autoFilter ref="A4:R16"/>
  <mergeCells count="1">
    <mergeCell ref="A2:R2"/>
  </mergeCells>
  <hyperlinks>
    <hyperlink ref="Q5" r:id="rId1"/>
    <hyperlink ref="Q6" r:id="rId2"/>
    <hyperlink ref="Q7" r:id="rId3"/>
    <hyperlink ref="Q8" r:id="rId4"/>
    <hyperlink ref="Q9" r:id="rId5"/>
    <hyperlink ref="Q10" r:id="rId6"/>
    <hyperlink ref="Q11" r:id="rId7"/>
    <hyperlink ref="Q12" r:id="rId8"/>
    <hyperlink ref="Q13" r:id="rId9"/>
    <hyperlink ref="Q14" r:id="rId10"/>
    <hyperlink ref="Q15" r:id="rId11"/>
    <hyperlink ref="Q16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0" customWidth="1" min="14" max="14"/>
  </cols>
  <sheetData>
    <row r="1">
      <c r="A1" s="1" t="inlineStr">
        <is>
          <t>Resumen de eventos por año y mes</t>
        </is>
      </c>
    </row>
    <row r="2">
      <c r="A2" s="18" t="inlineStr">
        <is>
          <t>Recuento calculado con COUNTIFS sobre la hoja «Eventos» (columna Año e I y columna Mes J). Se actualiza solo si cambian los datos.</t>
        </is>
      </c>
    </row>
    <row r="4">
      <c r="A4" s="3" t="inlineStr">
        <is>
          <t>Año</t>
        </is>
      </c>
      <c r="B4" s="3" t="inlineStr">
        <is>
          <t>Ene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Abr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Ago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Dic</t>
        </is>
      </c>
      <c r="N4" s="3" t="inlineStr">
        <is>
          <t>Total</t>
        </is>
      </c>
    </row>
    <row r="5">
      <c r="A5" s="19" t="n">
        <v>2026</v>
      </c>
      <c r="B5" s="20">
        <f>COUNTIFS(Eventos!$I:$I,$A5,Eventos!$J:$J,1)</f>
        <v>0</v>
      </c>
      <c r="C5" s="20">
        <f>COUNTIFS(Eventos!$I:$I,$A5,Eventos!$J:$J,2)</f>
        <v>0</v>
      </c>
      <c r="D5" s="20">
        <f>COUNTIFS(Eventos!$I:$I,$A5,Eventos!$J:$J,3)</f>
        <v>0</v>
      </c>
      <c r="E5" s="20">
        <f>COUNTIFS(Eventos!$I:$I,$A5,Eventos!$J:$J,4)</f>
        <v>0</v>
      </c>
      <c r="F5" s="20">
        <f>COUNTIFS(Eventos!$I:$I,$A5,Eventos!$J:$J,5)</f>
        <v>0</v>
      </c>
      <c r="G5" s="20">
        <f>COUNTIFS(Eventos!$I:$I,$A5,Eventos!$J:$J,6)</f>
        <v>0</v>
      </c>
      <c r="H5" s="20">
        <f>COUNTIFS(Eventos!$I:$I,$A5,Eventos!$J:$J,7)</f>
        <v>0</v>
      </c>
      <c r="I5" s="20">
        <f>COUNTIFS(Eventos!$I:$I,$A5,Eventos!$J:$J,8)</f>
        <v>1</v>
      </c>
      <c r="J5" s="20">
        <f>COUNTIFS(Eventos!$I:$I,$A5,Eventos!$J:$J,9)</f>
        <v>2</v>
      </c>
      <c r="K5" s="20">
        <f>COUNTIFS(Eventos!$I:$I,$A5,Eventos!$J:$J,10)</f>
        <v>3</v>
      </c>
      <c r="L5" s="20">
        <f>COUNTIFS(Eventos!$I:$I,$A5,Eventos!$J:$J,11)</f>
        <v>4</v>
      </c>
      <c r="M5" s="20">
        <f>COUNTIFS(Eventos!$I:$I,$A5,Eventos!$J:$J,12)</f>
        <v>2</v>
      </c>
      <c r="N5" s="21">
        <f>SUM(B5:M5)</f>
        <v>12</v>
      </c>
    </row>
    <row r="6">
      <c r="A6" s="22" t="inlineStr">
        <is>
          <t>Total</t>
        </is>
      </c>
      <c r="B6" s="21">
        <f>SUM(B5:B5)</f>
        <v>0</v>
      </c>
      <c r="C6" s="21">
        <f>SUM(C5:C5)</f>
        <v>0</v>
      </c>
      <c r="D6" s="21">
        <f>SUM(D5:D5)</f>
        <v>0</v>
      </c>
      <c r="E6" s="21">
        <f>SUM(E5:E5)</f>
        <v>0</v>
      </c>
      <c r="F6" s="21">
        <f>SUM(F5:F5)</f>
        <v>0</v>
      </c>
      <c r="G6" s="21">
        <f>SUM(G5:G5)</f>
        <v>0</v>
      </c>
      <c r="H6" s="21">
        <f>SUM(H5:H5)</f>
        <v>0</v>
      </c>
      <c r="I6" s="21">
        <f>SUM(I5:I5)</f>
        <v>1</v>
      </c>
      <c r="J6" s="21">
        <f>SUM(J5:J5)</f>
        <v>2</v>
      </c>
      <c r="K6" s="21">
        <f>SUM(K5:K5)</f>
        <v>3</v>
      </c>
      <c r="L6" s="21">
        <f>SUM(L5:L5)</f>
        <v>4</v>
      </c>
      <c r="M6" s="21">
        <f>SUM(M5:M5)</f>
        <v>2</v>
      </c>
      <c r="N6" s="21">
        <f>SUM(N5:N5)</f>
        <v>12</v>
      </c>
    </row>
    <row r="8">
      <c r="A8" s="23" t="inlineStr">
        <is>
          <t>Comprobación</t>
        </is>
      </c>
      <c r="B8" s="24" t="str">
        <f>IF(N6=COUNTA(Eventos!$A$5:$A$16),"Cuadra con la hoja Eventos","REVISAR: descuadre")</f>
        <v>Cuadra con la hoja Eventos</v>
      </c>
    </row>
  </sheetData>
  <mergeCells count="2">
    <mergeCell ref="B8:H8"/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2026-08-11T20:23:05Z</dcterms:created>
  <dcterms:modified xsi:type="dcterms:W3CDTF">2026-08-11T20:23:05Z</dcterms:modified>
</cp:coreProperties>
</file>